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ispancomtw-my.sharepoint.com/personal/willemgi_ispan_com_tw/Documents/桌面/8_SideProject/臺灣百岳單攻地圖/"/>
    </mc:Choice>
  </mc:AlternateContent>
  <xr:revisionPtr revIDLastSave="221" documentId="11_AD4DBB64A54DDB1B405E38360D593BD54E90DF19" xr6:coauthVersionLast="47" xr6:coauthVersionMax="47" xr10:uidLastSave="{042BB99A-2A67-48FE-9316-D0B7E344CA6C}"/>
  <bookViews>
    <workbookView xWindow="28680" yWindow="-120" windowWidth="29040" windowHeight="15720" activeTab="1" xr2:uid="{00000000-000D-0000-FFFF-FFFF00000000}"/>
  </bookViews>
  <sheets>
    <sheet name="mountains" sheetId="1" r:id="rId1"/>
    <sheet name="hiking_record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1" l="1"/>
  <c r="K3" i="1"/>
  <c r="K4" i="1"/>
  <c r="K5" i="1"/>
  <c r="K6" i="1"/>
  <c r="K7" i="1"/>
  <c r="K8" i="1"/>
  <c r="K9" i="1"/>
  <c r="K10" i="1"/>
  <c r="K11" i="1"/>
  <c r="K12" i="1"/>
  <c r="K2" i="1"/>
</calcChain>
</file>

<file path=xl/sharedStrings.xml><?xml version="1.0" encoding="utf-8"?>
<sst xmlns="http://schemas.openxmlformats.org/spreadsheetml/2006/main" count="70" uniqueCount="62">
  <si>
    <t>id</t>
    <phoneticPr fontId="1" type="noConversion"/>
  </si>
  <si>
    <t>created_at</t>
    <phoneticPr fontId="1" type="noConversion"/>
  </si>
  <si>
    <t>hiking_note_id</t>
    <phoneticPr fontId="1" type="noConversion"/>
  </si>
  <si>
    <t>tao_kalaye</t>
  </si>
  <si>
    <t>mt_beidawu</t>
  </si>
  <si>
    <t>mt_taguan</t>
  </si>
  <si>
    <t>mt_hijiayang</t>
  </si>
  <si>
    <t>mt_junda</t>
  </si>
  <si>
    <t>mt_xue_east</t>
  </si>
  <si>
    <t>trail_name</t>
    <phoneticPr fontId="1" type="noConversion"/>
  </si>
  <si>
    <t>length_km</t>
    <phoneticPr fontId="1" type="noConversion"/>
  </si>
  <si>
    <t>elevation_min_m</t>
    <phoneticPr fontId="1" type="noConversion"/>
  </si>
  <si>
    <t>elevation_max_m</t>
    <phoneticPr fontId="1" type="noConversion"/>
  </si>
  <si>
    <t>tao_mountain</t>
    <phoneticPr fontId="1" type="noConversion"/>
  </si>
  <si>
    <t>chiyou_pintian</t>
    <phoneticPr fontId="1" type="noConversion"/>
  </si>
  <si>
    <t>mt_guanshangling</t>
    <phoneticPr fontId="1" type="noConversion"/>
  </si>
  <si>
    <t>hehuan_north</t>
    <phoneticPr fontId="1" type="noConversion"/>
  </si>
  <si>
    <t>hehuan_north_west</t>
    <phoneticPr fontId="1" type="noConversion"/>
  </si>
  <si>
    <t>mt_jade_front</t>
    <phoneticPr fontId="1" type="noConversion"/>
  </si>
  <si>
    <t>distance_km</t>
    <phoneticPr fontId="1" type="noConversion"/>
  </si>
  <si>
    <t>duration_minutes</t>
    <phoneticPr fontId="1" type="noConversion"/>
  </si>
  <si>
    <t>record_date</t>
    <phoneticPr fontId="1" type="noConversion"/>
  </si>
  <si>
    <t>ascent_m</t>
    <phoneticPr fontId="1" type="noConversion"/>
  </si>
  <si>
    <t>descent_m</t>
    <phoneticPr fontId="1" type="noConversion"/>
  </si>
  <si>
    <t>updated_at</t>
    <phoneticPr fontId="1" type="noConversion"/>
  </si>
  <si>
    <t>ch_mt_name</t>
    <phoneticPr fontId="1" type="noConversion"/>
  </si>
  <si>
    <t>ch_trail_name</t>
    <phoneticPr fontId="1" type="noConversion"/>
  </si>
  <si>
    <t xml:space="preserve">longitude_WGS84 </t>
    <phoneticPr fontId="1" type="noConversion"/>
  </si>
  <si>
    <t xml:space="preserve">latitude_WGS84 </t>
    <phoneticPr fontId="1" type="noConversion"/>
  </si>
  <si>
    <r>
      <rPr>
        <sz val="10"/>
        <color theme="1"/>
        <rFont val="微軟正黑體"/>
        <family val="2"/>
        <charset val="136"/>
      </rPr>
      <t>桃山步道</t>
    </r>
    <phoneticPr fontId="1" type="noConversion"/>
  </si>
  <si>
    <r>
      <rPr>
        <sz val="10"/>
        <color theme="1"/>
        <rFont val="微軟正黑體"/>
        <family val="2"/>
        <charset val="136"/>
      </rPr>
      <t>北大武山</t>
    </r>
    <phoneticPr fontId="1" type="noConversion"/>
  </si>
  <si>
    <r>
      <rPr>
        <sz val="10"/>
        <color theme="1"/>
        <rFont val="微軟正黑體"/>
        <family val="2"/>
        <charset val="136"/>
      </rPr>
      <t>塔關山登山步道</t>
    </r>
    <phoneticPr fontId="1" type="noConversion"/>
  </si>
  <si>
    <r>
      <rPr>
        <sz val="10"/>
        <color theme="1"/>
        <rFont val="微軟正黑體"/>
        <family val="2"/>
        <charset val="136"/>
      </rPr>
      <t>志佳陽大山</t>
    </r>
    <phoneticPr fontId="1" type="noConversion"/>
  </si>
  <si>
    <r>
      <rPr>
        <sz val="10"/>
        <color theme="1"/>
        <rFont val="微軟正黑體"/>
        <family val="2"/>
        <charset val="136"/>
      </rPr>
      <t>郡大山</t>
    </r>
    <phoneticPr fontId="1" type="noConversion"/>
  </si>
  <si>
    <r>
      <rPr>
        <sz val="10"/>
        <color theme="1"/>
        <rFont val="微軟正黑體"/>
        <family val="2"/>
        <charset val="136"/>
      </rPr>
      <t>郡大望鄉登山步道</t>
    </r>
    <phoneticPr fontId="1" type="noConversion"/>
  </si>
  <si>
    <r>
      <rPr>
        <sz val="10"/>
        <color theme="1"/>
        <rFont val="微軟正黑體"/>
        <family val="2"/>
        <charset val="136"/>
      </rPr>
      <t>雪山東峰</t>
    </r>
    <phoneticPr fontId="1" type="noConversion"/>
  </si>
  <si>
    <r>
      <rPr>
        <sz val="10"/>
        <color theme="1"/>
        <rFont val="微軟正黑體"/>
        <family val="2"/>
        <charset val="136"/>
      </rPr>
      <t>關山嶺山</t>
    </r>
    <phoneticPr fontId="1" type="noConversion"/>
  </si>
  <si>
    <r>
      <rPr>
        <sz val="10"/>
        <color theme="1"/>
        <rFont val="微軟正黑體"/>
        <family val="2"/>
        <charset val="136"/>
      </rPr>
      <t>合歡北西步道</t>
    </r>
    <phoneticPr fontId="1" type="noConversion"/>
  </si>
  <si>
    <r>
      <rPr>
        <sz val="10"/>
        <color theme="1"/>
        <rFont val="微軟正黑體"/>
        <family val="2"/>
        <charset val="136"/>
      </rPr>
      <t>玉山前峰登山山徑</t>
    </r>
    <phoneticPr fontId="1" type="noConversion"/>
  </si>
  <si>
    <r>
      <rPr>
        <sz val="10"/>
        <color theme="1"/>
        <rFont val="微軟正黑體"/>
        <family val="2"/>
        <charset val="136"/>
      </rPr>
      <t>武陵四秀</t>
    </r>
  </si>
  <si>
    <r>
      <rPr>
        <sz val="10"/>
        <color theme="1"/>
        <rFont val="微軟正黑體"/>
        <family val="2"/>
        <charset val="136"/>
      </rPr>
      <t>桃山喀拉業</t>
    </r>
  </si>
  <si>
    <r>
      <rPr>
        <sz val="10"/>
        <color theme="1"/>
        <rFont val="微軟正黑體"/>
        <family val="2"/>
        <charset val="136"/>
      </rPr>
      <t>北大武山步道</t>
    </r>
  </si>
  <si>
    <r>
      <rPr>
        <sz val="10"/>
        <color theme="1"/>
        <rFont val="微軟正黑體"/>
        <family val="2"/>
        <charset val="136"/>
      </rPr>
      <t>塔關山</t>
    </r>
  </si>
  <si>
    <r>
      <rPr>
        <sz val="10"/>
        <color theme="1"/>
        <rFont val="微軟正黑體"/>
        <family val="2"/>
        <charset val="136"/>
      </rPr>
      <t>志佳陽大山登山步道</t>
    </r>
  </si>
  <si>
    <r>
      <rPr>
        <sz val="10"/>
        <color theme="1"/>
        <rFont val="微軟正黑體"/>
        <family val="2"/>
        <charset val="136"/>
      </rPr>
      <t>臺中市和平區</t>
    </r>
  </si>
  <si>
    <r>
      <rPr>
        <sz val="10"/>
        <color theme="1"/>
        <rFont val="微軟正黑體"/>
        <family val="2"/>
        <charset val="136"/>
      </rPr>
      <t>南投縣信義鄉</t>
    </r>
  </si>
  <si>
    <r>
      <rPr>
        <sz val="10"/>
        <color theme="1"/>
        <rFont val="微軟正黑體"/>
        <family val="2"/>
        <charset val="136"/>
      </rPr>
      <t>雪山東峰登山山徑</t>
    </r>
  </si>
  <si>
    <r>
      <rPr>
        <sz val="10"/>
        <color theme="1"/>
        <rFont val="微軟正黑體"/>
        <family val="2"/>
        <charset val="136"/>
      </rPr>
      <t>關山嶺山登山步道</t>
    </r>
  </si>
  <si>
    <r>
      <rPr>
        <sz val="10"/>
        <color theme="1"/>
        <rFont val="微軟正黑體"/>
        <family val="2"/>
        <charset val="136"/>
      </rPr>
      <t>合歡山</t>
    </r>
  </si>
  <si>
    <r>
      <rPr>
        <sz val="10"/>
        <color theme="1"/>
        <rFont val="微軟正黑體"/>
        <family val="2"/>
        <charset val="136"/>
      </rPr>
      <t>合歡北峰步道</t>
    </r>
  </si>
  <si>
    <r>
      <rPr>
        <sz val="10"/>
        <color theme="1"/>
        <rFont val="微軟正黑體"/>
        <family val="2"/>
        <charset val="136"/>
      </rPr>
      <t>玉山</t>
    </r>
  </si>
  <si>
    <r>
      <rPr>
        <sz val="10"/>
        <color theme="1"/>
        <rFont val="微軟正黑體"/>
        <family val="2"/>
        <charset val="136"/>
      </rPr>
      <t>臺中市和平區</t>
    </r>
    <r>
      <rPr>
        <sz val="10"/>
        <color theme="1"/>
        <rFont val="Times New Roman"/>
        <family val="1"/>
      </rPr>
      <t>,</t>
    </r>
    <r>
      <rPr>
        <sz val="10"/>
        <color theme="1"/>
        <rFont val="微軟正黑體"/>
        <family val="2"/>
        <charset val="136"/>
      </rPr>
      <t>新竹縣尖石鄉</t>
    </r>
  </si>
  <si>
    <r>
      <rPr>
        <sz val="10"/>
        <color theme="1"/>
        <rFont val="微軟正黑體"/>
        <family val="2"/>
        <charset val="136"/>
      </rPr>
      <t>臺中市和平區</t>
    </r>
    <r>
      <rPr>
        <sz val="10"/>
        <color theme="1"/>
        <rFont val="Times New Roman"/>
        <family val="1"/>
      </rPr>
      <t>,</t>
    </r>
    <r>
      <rPr>
        <sz val="10"/>
        <color theme="1"/>
        <rFont val="微軟正黑體"/>
        <family val="2"/>
        <charset val="136"/>
      </rPr>
      <t>新竹縣尖石鄉</t>
    </r>
    <r>
      <rPr>
        <sz val="10"/>
        <color theme="1"/>
        <rFont val="Times New Roman"/>
        <family val="1"/>
      </rPr>
      <t>,</t>
    </r>
    <r>
      <rPr>
        <sz val="10"/>
        <color theme="1"/>
        <rFont val="微軟正黑體"/>
        <family val="2"/>
        <charset val="136"/>
      </rPr>
      <t>宜蘭縣大同鄉</t>
    </r>
  </si>
  <si>
    <r>
      <rPr>
        <sz val="10"/>
        <color theme="1"/>
        <rFont val="微軟正黑體"/>
        <family val="2"/>
        <charset val="136"/>
      </rPr>
      <t>武陵二秀</t>
    </r>
    <r>
      <rPr>
        <sz val="10"/>
        <color theme="1"/>
        <rFont val="Times New Roman"/>
        <family val="1"/>
      </rPr>
      <t>(</t>
    </r>
    <r>
      <rPr>
        <sz val="10"/>
        <color theme="1"/>
        <rFont val="微軟正黑體"/>
        <family val="2"/>
        <charset val="136"/>
      </rPr>
      <t>池有</t>
    </r>
    <r>
      <rPr>
        <sz val="10"/>
        <color theme="1"/>
        <rFont val="Times New Roman"/>
        <family val="1"/>
      </rPr>
      <t>,</t>
    </r>
    <r>
      <rPr>
        <sz val="10"/>
        <color theme="1"/>
        <rFont val="微軟正黑體"/>
        <family val="2"/>
        <charset val="136"/>
      </rPr>
      <t>品田</t>
    </r>
    <r>
      <rPr>
        <sz val="10"/>
        <color theme="1"/>
        <rFont val="Times New Roman"/>
        <family val="1"/>
      </rPr>
      <t>)</t>
    </r>
  </si>
  <si>
    <r>
      <rPr>
        <sz val="10"/>
        <color theme="1"/>
        <rFont val="微軟正黑體"/>
        <family val="2"/>
        <charset val="136"/>
      </rPr>
      <t>屏東縣瑪家鄉</t>
    </r>
    <r>
      <rPr>
        <sz val="10"/>
        <color theme="1"/>
        <rFont val="Times New Roman"/>
        <family val="1"/>
      </rPr>
      <t>,</t>
    </r>
    <r>
      <rPr>
        <sz val="10"/>
        <color theme="1"/>
        <rFont val="微軟正黑體"/>
        <family val="2"/>
        <charset val="136"/>
      </rPr>
      <t>屏東縣泰武鄉</t>
    </r>
    <r>
      <rPr>
        <sz val="10"/>
        <color theme="1"/>
        <rFont val="Times New Roman"/>
        <family val="1"/>
      </rPr>
      <t>,</t>
    </r>
    <r>
      <rPr>
        <sz val="10"/>
        <color theme="1"/>
        <rFont val="微軟正黑體"/>
        <family val="2"/>
        <charset val="136"/>
      </rPr>
      <t>臺東縣金峰鄉</t>
    </r>
  </si>
  <si>
    <r>
      <rPr>
        <sz val="10"/>
        <color theme="1"/>
        <rFont val="微軟正黑體"/>
        <family val="2"/>
        <charset val="136"/>
      </rPr>
      <t>高雄市桃源區</t>
    </r>
    <r>
      <rPr>
        <sz val="10"/>
        <color theme="1"/>
        <rFont val="Times New Roman"/>
        <family val="1"/>
      </rPr>
      <t>,</t>
    </r>
    <r>
      <rPr>
        <sz val="10"/>
        <color theme="1"/>
        <rFont val="微軟正黑體"/>
        <family val="2"/>
        <charset val="136"/>
      </rPr>
      <t>臺東縣海端鄉</t>
    </r>
  </si>
  <si>
    <r>
      <rPr>
        <sz val="10"/>
        <color theme="1"/>
        <rFont val="微軟正黑體"/>
        <family val="2"/>
        <charset val="136"/>
      </rPr>
      <t>南投縣仁愛鄉</t>
    </r>
    <r>
      <rPr>
        <sz val="10"/>
        <color theme="1"/>
        <rFont val="Times New Roman"/>
        <family val="1"/>
      </rPr>
      <t>,</t>
    </r>
    <r>
      <rPr>
        <sz val="10"/>
        <color theme="1"/>
        <rFont val="微軟正黑體"/>
        <family val="2"/>
        <charset val="136"/>
      </rPr>
      <t>花蓮縣秀林鄉</t>
    </r>
  </si>
  <si>
    <r>
      <rPr>
        <sz val="10"/>
        <color theme="1"/>
        <rFont val="微軟正黑體"/>
        <family val="2"/>
        <charset val="136"/>
      </rPr>
      <t>南投縣信義鄉</t>
    </r>
    <r>
      <rPr>
        <sz val="10"/>
        <color theme="1"/>
        <rFont val="Times New Roman"/>
        <family val="1"/>
      </rPr>
      <t>,</t>
    </r>
    <r>
      <rPr>
        <sz val="10"/>
        <color theme="1"/>
        <rFont val="微軟正黑體"/>
        <family val="2"/>
        <charset val="136"/>
      </rPr>
      <t>嘉義縣阿里山鄉</t>
    </r>
  </si>
  <si>
    <t>country</t>
    <phoneticPr fontId="1" type="noConversion"/>
  </si>
  <si>
    <r>
      <rPr>
        <sz val="10"/>
        <color theme="1"/>
        <rFont val="微軟正黑體"/>
        <family val="2"/>
        <charset val="136"/>
      </rPr>
      <t>臺中市和平區</t>
    </r>
    <r>
      <rPr>
        <sz val="10"/>
        <color theme="1"/>
        <rFont val="Times New Roman"/>
        <family val="1"/>
      </rPr>
      <t>,</t>
    </r>
    <r>
      <rPr>
        <sz val="10"/>
        <color theme="1"/>
        <rFont val="微軟正黑體"/>
        <family val="2"/>
        <charset val="136"/>
      </rPr>
      <t>新竹縣尖石鄉</t>
    </r>
    <phoneticPr fontId="1" type="noConversion"/>
  </si>
  <si>
    <t>elevation</t>
    <phoneticPr fontId="1" type="noConversion"/>
  </si>
  <si>
    <t>Example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</si>
</sst>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color theme="1"/>
      <name val="微軟正黑體"/>
      <family val="2"/>
      <charset val="136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微軟正黑體"/>
      <family val="2"/>
      <charset val="136"/>
    </font>
    <font>
      <sz val="10"/>
      <color theme="1"/>
      <name val="Times New Roman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14" fontId="0" fillId="0" borderId="0" xfId="0" applyNumberFormat="1"/>
    <xf numFmtId="0" fontId="6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workbookViewId="0">
      <selection activeCell="N14" sqref="A1:N14"/>
    </sheetView>
  </sheetViews>
  <sheetFormatPr defaultRowHeight="14.5" x14ac:dyDescent="0.35"/>
  <cols>
    <col min="1" max="1" width="12.09765625" style="3" bestFit="1" customWidth="1"/>
    <col min="2" max="2" width="20.19921875" style="3" bestFit="1" customWidth="1"/>
    <col min="3" max="4" width="20.19921875" style="3" customWidth="1"/>
    <col min="5" max="5" width="15" style="3" bestFit="1" customWidth="1"/>
    <col min="6" max="6" width="16.296875" style="3" customWidth="1"/>
    <col min="7" max="7" width="10.796875" style="3" bestFit="1" customWidth="1"/>
    <col min="8" max="9" width="16.09765625" style="3" customWidth="1"/>
    <col min="10" max="10" width="40.8984375" style="3" bestFit="1" customWidth="1"/>
    <col min="11" max="16384" width="8.796875" style="3"/>
  </cols>
  <sheetData>
    <row r="1" spans="1:11" x14ac:dyDescent="0.35">
      <c r="A1" s="1" t="s">
        <v>25</v>
      </c>
      <c r="B1" s="1" t="s">
        <v>26</v>
      </c>
      <c r="C1" s="1" t="s">
        <v>27</v>
      </c>
      <c r="D1" s="1" t="s">
        <v>28</v>
      </c>
      <c r="E1" s="1" t="s">
        <v>2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58</v>
      </c>
      <c r="K1" s="1" t="s">
        <v>60</v>
      </c>
    </row>
    <row r="2" spans="1:11" x14ac:dyDescent="0.35">
      <c r="A2" s="2" t="s">
        <v>39</v>
      </c>
      <c r="B2" s="2" t="s">
        <v>29</v>
      </c>
      <c r="C2" s="2">
        <v>121.30463</v>
      </c>
      <c r="D2" s="2">
        <v>24.432510000000001</v>
      </c>
      <c r="E2" s="2">
        <v>429</v>
      </c>
      <c r="F2" s="2" t="s">
        <v>13</v>
      </c>
      <c r="G2" s="2">
        <v>7.9</v>
      </c>
      <c r="H2" s="2">
        <v>1883</v>
      </c>
      <c r="I2" s="2">
        <v>3325</v>
      </c>
      <c r="J2" s="5" t="s">
        <v>59</v>
      </c>
      <c r="K2" s="2">
        <f>I2-H2</f>
        <v>1442</v>
      </c>
    </row>
    <row r="3" spans="1:11" x14ac:dyDescent="0.35">
      <c r="A3" s="2" t="s">
        <v>39</v>
      </c>
      <c r="B3" s="2" t="s">
        <v>40</v>
      </c>
      <c r="C3" s="2">
        <v>121.3213877</v>
      </c>
      <c r="D3" s="2">
        <v>24.450030689999998</v>
      </c>
      <c r="E3" s="2">
        <v>1746</v>
      </c>
      <c r="F3" s="2" t="s">
        <v>3</v>
      </c>
      <c r="G3" s="2">
        <v>9</v>
      </c>
      <c r="H3" s="2">
        <v>1860</v>
      </c>
      <c r="I3" s="2">
        <v>3325</v>
      </c>
      <c r="J3" s="2" t="s">
        <v>52</v>
      </c>
      <c r="K3" s="2">
        <f t="shared" ref="K3:K12" si="0">I3-H3</f>
        <v>1465</v>
      </c>
    </row>
    <row r="4" spans="1:11" x14ac:dyDescent="0.35">
      <c r="A4" s="2" t="s">
        <v>39</v>
      </c>
      <c r="B4" s="2" t="s">
        <v>53</v>
      </c>
      <c r="C4" s="2">
        <v>121.2668</v>
      </c>
      <c r="D4" s="2">
        <v>24.4282</v>
      </c>
      <c r="E4" s="2">
        <v>1737</v>
      </c>
      <c r="F4" s="2" t="s">
        <v>14</v>
      </c>
      <c r="G4" s="2">
        <v>10.1</v>
      </c>
      <c r="H4" s="2">
        <v>1860</v>
      </c>
      <c r="I4" s="2">
        <v>3524</v>
      </c>
      <c r="J4" s="2" t="s">
        <v>51</v>
      </c>
      <c r="K4" s="2">
        <f t="shared" si="0"/>
        <v>1664</v>
      </c>
    </row>
    <row r="5" spans="1:11" x14ac:dyDescent="0.35">
      <c r="A5" s="2" t="s">
        <v>30</v>
      </c>
      <c r="B5" s="2" t="s">
        <v>41</v>
      </c>
      <c r="C5" s="2">
        <v>120.76130000000001</v>
      </c>
      <c r="D5" s="2">
        <v>22.62706</v>
      </c>
      <c r="E5" s="2">
        <v>1750</v>
      </c>
      <c r="F5" s="2" t="s">
        <v>4</v>
      </c>
      <c r="G5" s="2">
        <v>12</v>
      </c>
      <c r="H5" s="2">
        <v>1550</v>
      </c>
      <c r="I5" s="2">
        <v>3090</v>
      </c>
      <c r="J5" s="2" t="s">
        <v>54</v>
      </c>
      <c r="K5" s="2">
        <f t="shared" si="0"/>
        <v>1540</v>
      </c>
    </row>
    <row r="6" spans="1:11" x14ac:dyDescent="0.35">
      <c r="A6" s="2" t="s">
        <v>42</v>
      </c>
      <c r="B6" s="2" t="s">
        <v>31</v>
      </c>
      <c r="C6" s="2">
        <v>120.94119000000001</v>
      </c>
      <c r="D6" s="2">
        <v>23.251899999999999</v>
      </c>
      <c r="E6" s="2">
        <v>1761</v>
      </c>
      <c r="F6" s="2" t="s">
        <v>5</v>
      </c>
      <c r="G6" s="2">
        <v>2.2000000000000002</v>
      </c>
      <c r="H6" s="2">
        <v>2580</v>
      </c>
      <c r="I6" s="2">
        <v>3222</v>
      </c>
      <c r="J6" s="2" t="s">
        <v>55</v>
      </c>
      <c r="K6" s="2">
        <f t="shared" si="0"/>
        <v>642</v>
      </c>
    </row>
    <row r="7" spans="1:11" x14ac:dyDescent="0.35">
      <c r="A7" s="2" t="s">
        <v>32</v>
      </c>
      <c r="B7" s="2" t="s">
        <v>43</v>
      </c>
      <c r="C7" s="2">
        <v>121.25136000000001</v>
      </c>
      <c r="D7" s="2">
        <v>24.357793000000001</v>
      </c>
      <c r="E7" s="2">
        <v>531</v>
      </c>
      <c r="F7" s="2" t="s">
        <v>6</v>
      </c>
      <c r="G7" s="2">
        <v>8.3000000000000007</v>
      </c>
      <c r="H7" s="2">
        <v>1585</v>
      </c>
      <c r="I7" s="2">
        <v>3345</v>
      </c>
      <c r="J7" s="2" t="s">
        <v>44</v>
      </c>
      <c r="K7" s="2">
        <f t="shared" si="0"/>
        <v>1760</v>
      </c>
    </row>
    <row r="8" spans="1:11" x14ac:dyDescent="0.35">
      <c r="A8" s="2" t="s">
        <v>33</v>
      </c>
      <c r="B8" s="2" t="s">
        <v>34</v>
      </c>
      <c r="C8" s="2">
        <v>120.96249</v>
      </c>
      <c r="D8" s="2">
        <v>23.577390000000001</v>
      </c>
      <c r="E8" s="2">
        <v>500</v>
      </c>
      <c r="F8" s="2" t="s">
        <v>7</v>
      </c>
      <c r="G8" s="2">
        <v>3.7</v>
      </c>
      <c r="H8" s="2">
        <v>2865</v>
      </c>
      <c r="I8" s="2">
        <v>3265</v>
      </c>
      <c r="J8" s="2" t="s">
        <v>45</v>
      </c>
      <c r="K8" s="2">
        <f t="shared" si="0"/>
        <v>400</v>
      </c>
    </row>
    <row r="9" spans="1:11" x14ac:dyDescent="0.35">
      <c r="A9" s="2" t="s">
        <v>35</v>
      </c>
      <c r="B9" s="2" t="s">
        <v>46</v>
      </c>
      <c r="C9" s="2">
        <v>121.27207300000001</v>
      </c>
      <c r="D9" s="2">
        <v>24.388687000000001</v>
      </c>
      <c r="E9" s="2">
        <v>1734</v>
      </c>
      <c r="F9" s="2" t="s">
        <v>8</v>
      </c>
      <c r="G9" s="2">
        <v>5</v>
      </c>
      <c r="H9" s="2">
        <v>2140</v>
      </c>
      <c r="I9" s="2">
        <v>3201</v>
      </c>
      <c r="J9" s="2" t="s">
        <v>44</v>
      </c>
      <c r="K9" s="2">
        <f t="shared" si="0"/>
        <v>1061</v>
      </c>
    </row>
    <row r="10" spans="1:11" x14ac:dyDescent="0.35">
      <c r="A10" s="2" t="s">
        <v>36</v>
      </c>
      <c r="B10" s="2" t="s">
        <v>47</v>
      </c>
      <c r="C10" s="2">
        <v>120.95943</v>
      </c>
      <c r="D10" s="2">
        <v>23.27093</v>
      </c>
      <c r="E10" s="2">
        <v>1760</v>
      </c>
      <c r="F10" s="2" t="s">
        <v>15</v>
      </c>
      <c r="G10" s="2">
        <v>1.5</v>
      </c>
      <c r="H10" s="2">
        <v>2733</v>
      </c>
      <c r="I10" s="2">
        <v>3176</v>
      </c>
      <c r="J10" s="2" t="s">
        <v>55</v>
      </c>
      <c r="K10" s="2">
        <f t="shared" si="0"/>
        <v>443</v>
      </c>
    </row>
    <row r="11" spans="1:11" x14ac:dyDescent="0.35">
      <c r="A11" s="2" t="s">
        <v>48</v>
      </c>
      <c r="B11" s="2" t="s">
        <v>49</v>
      </c>
      <c r="C11" s="2">
        <v>121.28167000000001</v>
      </c>
      <c r="D11" s="2">
        <v>24.181519999999999</v>
      </c>
      <c r="E11" s="2">
        <v>288</v>
      </c>
      <c r="F11" s="2" t="s">
        <v>16</v>
      </c>
      <c r="G11" s="2">
        <v>2</v>
      </c>
      <c r="H11" s="2">
        <v>2975</v>
      </c>
      <c r="I11" s="2">
        <v>3422</v>
      </c>
      <c r="J11" s="2" t="s">
        <v>56</v>
      </c>
      <c r="K11" s="2">
        <f t="shared" si="0"/>
        <v>447</v>
      </c>
    </row>
    <row r="12" spans="1:11" x14ac:dyDescent="0.35">
      <c r="A12" s="2" t="s">
        <v>48</v>
      </c>
      <c r="B12" s="2" t="s">
        <v>37</v>
      </c>
      <c r="C12" s="2">
        <v>121.24460000000001</v>
      </c>
      <c r="D12" s="2">
        <v>24.177700000000002</v>
      </c>
      <c r="E12" s="2">
        <v>536</v>
      </c>
      <c r="F12" s="2" t="s">
        <v>17</v>
      </c>
      <c r="G12" s="2">
        <v>6.7</v>
      </c>
      <c r="H12" s="2">
        <v>2975</v>
      </c>
      <c r="I12" s="2">
        <v>3422</v>
      </c>
      <c r="J12" s="2" t="s">
        <v>56</v>
      </c>
      <c r="K12" s="2">
        <f t="shared" si="0"/>
        <v>447</v>
      </c>
    </row>
    <row r="13" spans="1:11" x14ac:dyDescent="0.35">
      <c r="A13" s="2" t="s">
        <v>50</v>
      </c>
      <c r="B13" s="2" t="s">
        <v>38</v>
      </c>
      <c r="C13" s="2">
        <v>120.91764999999999</v>
      </c>
      <c r="D13" s="2">
        <v>23.4756</v>
      </c>
      <c r="E13" s="2">
        <v>68</v>
      </c>
      <c r="F13" s="2" t="s">
        <v>18</v>
      </c>
      <c r="G13" s="2">
        <v>3.5</v>
      </c>
      <c r="H13" s="2">
        <v>2610</v>
      </c>
      <c r="I13" s="2">
        <v>3239</v>
      </c>
      <c r="J13" s="2" t="s">
        <v>57</v>
      </c>
      <c r="K13" s="2">
        <f>I13-H13</f>
        <v>629</v>
      </c>
    </row>
    <row r="14" spans="1:11" x14ac:dyDescent="0.35">
      <c r="K14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BBFA9-A605-41C9-8903-A2C9CC7E6309}">
  <dimension ref="A1:I2"/>
  <sheetViews>
    <sheetView tabSelected="1" workbookViewId="0">
      <selection sqref="A1:I2"/>
    </sheetView>
  </sheetViews>
  <sheetFormatPr defaultRowHeight="14.5" x14ac:dyDescent="0.3"/>
  <cols>
    <col min="2" max="2" width="13.59765625" bestFit="1" customWidth="1"/>
    <col min="3" max="3" width="12" bestFit="1" customWidth="1"/>
    <col min="4" max="5" width="12" customWidth="1"/>
    <col min="6" max="6" width="17.19921875" bestFit="1" customWidth="1"/>
    <col min="7" max="7" width="11.796875" bestFit="1" customWidth="1"/>
    <col min="8" max="8" width="10.296875" bestFit="1" customWidth="1"/>
    <col min="9" max="9" width="10.8984375" bestFit="1" customWidth="1"/>
  </cols>
  <sheetData>
    <row r="1" spans="1:9" x14ac:dyDescent="0.3">
      <c r="A1" t="s">
        <v>0</v>
      </c>
      <c r="B1" t="s">
        <v>9</v>
      </c>
      <c r="C1" t="s">
        <v>19</v>
      </c>
      <c r="D1" t="s">
        <v>22</v>
      </c>
      <c r="E1" t="s">
        <v>23</v>
      </c>
      <c r="F1" t="s">
        <v>20</v>
      </c>
      <c r="G1" t="s">
        <v>21</v>
      </c>
      <c r="H1" t="s">
        <v>1</v>
      </c>
      <c r="I1" t="s">
        <v>24</v>
      </c>
    </row>
    <row r="2" spans="1:9" x14ac:dyDescent="0.3">
      <c r="A2" t="s">
        <v>61</v>
      </c>
      <c r="B2" t="s">
        <v>16</v>
      </c>
      <c r="C2">
        <v>14.69</v>
      </c>
      <c r="D2">
        <v>1380</v>
      </c>
      <c r="E2">
        <v>1380</v>
      </c>
      <c r="F2">
        <v>592</v>
      </c>
      <c r="G2" s="4">
        <v>45941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mountains</vt:lpstr>
      <vt:lpstr>hiking_records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資展國際 嵇威壬</cp:lastModifiedBy>
  <dcterms:created xsi:type="dcterms:W3CDTF">2015-06-05T18:19:34Z</dcterms:created>
  <dcterms:modified xsi:type="dcterms:W3CDTF">2026-07-06T09:42:41Z</dcterms:modified>
</cp:coreProperties>
</file>